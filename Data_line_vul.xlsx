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ux" sheetId="1" r:id="rId5"/>
    <sheet state="visible" name="OpenSSL" sheetId="2" r:id="rId6"/>
  </sheets>
  <definedNames/>
  <calcPr/>
</workbook>
</file>

<file path=xl/sharedStrings.xml><?xml version="1.0" encoding="utf-8"?>
<sst xmlns="http://schemas.openxmlformats.org/spreadsheetml/2006/main" count="176" uniqueCount="164">
  <si>
    <t>Vul_commit</t>
  </si>
  <si>
    <t>Vul_link</t>
  </si>
  <si>
    <t>Patch_commit</t>
  </si>
  <si>
    <t>Patch_link</t>
  </si>
  <si>
    <t>CVE</t>
  </si>
  <si>
    <t>CVE_link</t>
  </si>
  <si>
    <t>Vul_lines</t>
  </si>
  <si>
    <t>Note</t>
  </si>
  <si>
    <t>6019ce07</t>
  </si>
  <si>
    <t>32ab57cb</t>
  </si>
  <si>
    <t>7b08cf62</t>
  </si>
  <si>
    <t>36cf45ef</t>
  </si>
  <si>
    <t>CVE-2021-38202</t>
  </si>
  <si>
    <t>['fs/nfsd/trace.h__line_411']</t>
  </si>
  <si>
    <t>eafa4fd0</t>
  </si>
  <si>
    <t>1cb3db1c</t>
  </si>
  <si>
    <t>CVE-2021-38203</t>
  </si>
  <si>
    <t>['fs/btrfs/block-group.c__line_all', 'fs/btrfs/transaction.c__line_all', 'fs/btrfs/transaction.h__line_all']</t>
  </si>
  <si>
    <t>37d1e2e3</t>
  </si>
  <si>
    <t>734551df</t>
  </si>
  <si>
    <t>CVE-2021-46942</t>
  </si>
  <si>
    <t>['fs/io_uring.c__line_991_6784_6785_6795']</t>
  </si>
  <si>
    <t>89e3becd</t>
  </si>
  <si>
    <t>CVE-2021-3711</t>
  </si>
  <si>
    <t>28ac8e03</t>
  </si>
  <si>
    <t>CVE-2021-47003</t>
  </si>
  <si>
    <t>['drivers/dma/idxd/device.c__line_448']</t>
  </si>
  <si>
    <t>5df16caa</t>
  </si>
  <si>
    <t>83a775d5</t>
  </si>
  <si>
    <t>CVE-2021-47009</t>
  </si>
  <si>
    <t>['security/keys/trusted-keys/trusted_tpm1.c__line_503_506']</t>
  </si>
  <si>
    <t>c33b1cc6</t>
  </si>
  <si>
    <t>['crypto/sm2/sm2_crypt.c__line_70_71', 'include/crypto/sm2.h__line_70_71', 'providers/implementations/asymciphers/sm2_enc.c__line_113']</t>
  </si>
  <si>
    <t>c61760e6</t>
  </si>
  <si>
    <t>CVE-2021-47068</t>
  </si>
  <si>
    <t>d9ad5b16</t>
  </si>
  <si>
    <t>['net/nfc/llcp_sock.c__line_111_117']</t>
  </si>
  <si>
    <t>8a4cd82d</t>
  </si>
  <si>
    <t>25d47ccc</t>
  </si>
  <si>
    <t>CVE-2022-3358</t>
  </si>
  <si>
    <t>['crypto/evp/digest.c__line_212']</t>
  </si>
  <si>
    <t>9aa4be69</t>
  </si>
  <si>
    <t>['net/nfc/llcp_sock.c__line_707_752']</t>
  </si>
  <si>
    <t>4d0340a6</t>
  </si>
  <si>
    <t>ff36b0d9</t>
  </si>
  <si>
    <t>CVE-2022-3996</t>
  </si>
  <si>
    <t>ff67dbd5</t>
  </si>
  <si>
    <t>['crypto/x509/pcy_map.c__line_76_77_78_79']</t>
  </si>
  <si>
    <t>b33c48b7</t>
  </si>
  <si>
    <t>CVE-2021-47079</t>
  </si>
  <si>
    <t>7880536f</t>
  </si>
  <si>
    <t>['drivers/platform/x86/ideapad-laptop.c__line_748']</t>
  </si>
  <si>
    <t>CVE-2023-0286</t>
  </si>
  <si>
    <t>0ce20dd8</t>
  </si>
  <si>
    <t>['crypto/x509/v3_genn.c__line_101']</t>
  </si>
  <si>
    <t>b54cab31</t>
  </si>
  <si>
    <t>0129ab1f</t>
  </si>
  <si>
    <t>3a81370f</t>
  </si>
  <si>
    <t>CVE-2021-47089</t>
  </si>
  <si>
    <t>CVE-2023-0464</t>
  </si>
  <si>
    <t>['mm/kfence/core.c_line__556_557_558_559']</t>
  </si>
  <si>
    <t>['crypto/x509/pcy_local.h__line_160', 'crypto/x509/pcy_node.c__line_62', 'crypto/x509/pcy_tree.c__line_183_252_258_310_373_556']</t>
  </si>
  <si>
    <t>3d5048cc</t>
  </si>
  <si>
    <t>94553e85</t>
  </si>
  <si>
    <t>2efc2256</t>
  </si>
  <si>
    <t>CVE-2021-47102</t>
  </si>
  <si>
    <t>['drivers/net/ethernet/marvell/prestera/prestera_main.c__line_511_515_516_525']</t>
  </si>
  <si>
    <t>aaa31047</t>
  </si>
  <si>
    <t>0f7d9b31</t>
  </si>
  <si>
    <t>CVE-2021-47106</t>
  </si>
  <si>
    <t>['net/netfilter/nf_tables_api.c__line_4447_4449']</t>
  </si>
  <si>
    <t>ae81feb7</t>
  </si>
  <si>
    <t>944d671d</t>
  </si>
  <si>
    <t>e09fc1d7</t>
  </si>
  <si>
    <t>CVE-2023-6237</t>
  </si>
  <si>
    <t>CVE-2021-47125</t>
  </si>
  <si>
    <t>['crypto/rsa/rsa_sp800_56b_check.c__line_338']</t>
  </si>
  <si>
    <t>['net/sched/sch_htb.c__line_1678_1680_1681']</t>
  </si>
  <si>
    <t>3c95ef22</t>
  </si>
  <si>
    <t>64b9cea7</t>
  </si>
  <si>
    <t>6ae8e947</t>
  </si>
  <si>
    <t>b5941f06</t>
  </si>
  <si>
    <t>CVE-2024-12797</t>
  </si>
  <si>
    <t>['ssl/statem/statem_clnt.c__line_1898_1899_1900']</t>
  </si>
  <si>
    <t>CVE-2021-47132</t>
  </si>
  <si>
    <t>38b051a1</t>
  </si>
  <si>
    <t>['net/mptcp/protocol.c__line_2300']</t>
  </si>
  <si>
    <t>7984fa68</t>
  </si>
  <si>
    <t>fa0c16ca</t>
  </si>
  <si>
    <t>CVE-2024-2511</t>
  </si>
  <si>
    <t>7cfc4ea7</t>
  </si>
  <si>
    <t>['ssl/statem/statem_srvr.c__line_2362']</t>
  </si>
  <si>
    <t>7eb39ecb</t>
  </si>
  <si>
    <t>CVE-2021-47165</t>
  </si>
  <si>
    <t>38690cab</t>
  </si>
  <si>
    <t>['drivers/gpu/drm/meson/meson_drv.c__line_488_490_491_492']</t>
  </si>
  <si>
    <t>CVE-2024-4741</t>
  </si>
  <si>
    <t>de144ff4</t>
  </si>
  <si>
    <t>['ssl/record/methods/tls_common.c__line_2088']</t>
  </si>
  <si>
    <t>a421d218</t>
  </si>
  <si>
    <t>e9189cc4</t>
  </si>
  <si>
    <t>CVE-2021-47179</t>
  </si>
  <si>
    <t>['ssl/record/methods/tls_common.c__line_2082']</t>
  </si>
  <si>
    <t>c626fda8</t>
  </si>
  <si>
    <t>['fs/nfs/pnfs.c__line_1347']</t>
  </si>
  <si>
    <t>0eb9acc2</t>
  </si>
  <si>
    <t>46a8b29c</t>
  </si>
  <si>
    <t>CVE-2025-4575</t>
  </si>
  <si>
    <t>['apps/x509.c__line_468']</t>
  </si>
  <si>
    <t>56b786d8</t>
  </si>
  <si>
    <t>6399d785</t>
  </si>
  <si>
    <t>CVE-2021-47239</t>
  </si>
  <si>
    <t>dff94dba</t>
  </si>
  <si>
    <t>CVE-2025-9231</t>
  </si>
  <si>
    <t>['drivers/net/usb/smsc75xx.c__line_1486_1495']</t>
  </si>
  <si>
    <t>b220c049</t>
  </si>
  <si>
    <t>['crypto/ec/ecp_sm2p256.c__line_760_776_792']</t>
  </si>
  <si>
    <t>3e08a9f9</t>
  </si>
  <si>
    <t>CVE-2021-47274</t>
  </si>
  <si>
    <t>['kernel/trace/trace.c__line_2748']</t>
  </si>
  <si>
    <t>39ae3edd</t>
  </si>
  <si>
    <t>a47fa413</t>
  </si>
  <si>
    <t>CVE-2021-47290</t>
  </si>
  <si>
    <t>['drivers/target/target_core_transport.c__line_889']</t>
  </si>
  <si>
    <t>e941894e</t>
  </si>
  <si>
    <t>362a9e65</t>
  </si>
  <si>
    <t>CVE-2021-47292</t>
  </si>
  <si>
    <t>['fs/io_uring.c__line_7775_7776_7777_7778_7779_7780_7781_7782_7783_7784_7785']</t>
  </si>
  <si>
    <t>3c5e4462</t>
  </si>
  <si>
    <t>4ca041f9</t>
  </si>
  <si>
    <t>CVE-2021-47312</t>
  </si>
  <si>
    <t>['net/netfilter/nf_tables_api.c__line_3450']</t>
  </si>
  <si>
    <t>20798dfe</t>
  </si>
  <si>
    <t>ab1016d3</t>
  </si>
  <si>
    <t>CVE-2021-47316</t>
  </si>
  <si>
    <t>['fs/nfsd/nfs3acl.c__line_175']</t>
  </si>
  <si>
    <t>01e055c1</t>
  </si>
  <si>
    <t>83150f5d</t>
  </si>
  <si>
    <t>CVE-2021-47318</t>
  </si>
  <si>
    <t>['drivers/base/arch_topology.c__line_24_70_74_89_92_102']</t>
  </si>
  <si>
    <t>5d3c4c79</t>
  </si>
  <si>
    <t>23fa2e46</t>
  </si>
  <si>
    <t>CVE-2021-47341</t>
  </si>
  <si>
    <t>['virt/kvm/coalesced_mmio.c__line_189']</t>
  </si>
  <si>
    <t>3bb3d6b1</t>
  </si>
  <si>
    <t>0546b224</t>
  </si>
  <si>
    <t>CVE-2021-47586</t>
  </si>
  <si>
    <t>['drivers/net/ethernet/stmicro/stmmac/dwmac-rk.c__line_1386']</t>
  </si>
  <si>
    <t>37086bfd</t>
  </si>
  <si>
    <t>7d3baf0a</t>
  </si>
  <si>
    <t>CVE-2021-47608</t>
  </si>
  <si>
    <t>['kernel/bpf/verifier.c__line_3687']</t>
  </si>
  <si>
    <t>622ceadd</t>
  </si>
  <si>
    <t>8f121dfb</t>
  </si>
  <si>
    <t>CVE-2023-53144</t>
  </si>
  <si>
    <t>['fs/erofs/decompressor_lzma.c__line_280']</t>
  </si>
  <si>
    <t>e8c08826</t>
  </si>
  <si>
    <t>04fc06f6</t>
  </si>
  <si>
    <t>CVE-2023-53177</t>
  </si>
  <si>
    <t>['drivers/media/i2c/hi846.c__line_1356']</t>
  </si>
  <si>
    <t>f18ec422</t>
  </si>
  <si>
    <t>abc7b3f1</t>
  </si>
  <si>
    <t>CVE-2025-21888</t>
  </si>
  <si>
    <t>['drivers/infiniband/hw/mlx5/mr.c__line_1932']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</si>
</sst>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1.63"/>
    <col customWidth="1" min="3" max="3" width="15.5"/>
    <col customWidth="1" min="5" max="5" width="14.75"/>
    <col customWidth="1" min="6" max="6" width="13.88"/>
    <col customWidth="1" min="7" max="7" width="7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4" t="str">
        <f t="shared" ref="B2:B29" si="1">HYPERLINK(CONCAT("https://github.com/torvalds/linux/commit/", A2), "Link")</f>
        <v>Link</v>
      </c>
      <c r="C2" s="3" t="s">
        <v>10</v>
      </c>
      <c r="D2" s="4" t="str">
        <f t="shared" ref="D2:D29" si="2">HYPERLINK(CONCAT("https://github.com/torvalds/linux/commit/", C2), "Link")</f>
        <v>Link</v>
      </c>
      <c r="E2" s="3" t="s">
        <v>12</v>
      </c>
      <c r="F2" s="4" t="str">
        <f t="shared" ref="F2:F29" si="3">HYPERLINK(CONCAT("https://nvd.nist.gov/vuln/detail/", E2), "Link")</f>
        <v>Link</v>
      </c>
      <c r="G2" s="3" t="s">
        <v>13</v>
      </c>
    </row>
    <row r="3">
      <c r="A3" s="3" t="s">
        <v>14</v>
      </c>
      <c r="B3" s="4" t="str">
        <f t="shared" si="1"/>
        <v>Link</v>
      </c>
      <c r="C3" s="3" t="s">
        <v>15</v>
      </c>
      <c r="D3" s="4" t="str">
        <f t="shared" si="2"/>
        <v>Link</v>
      </c>
      <c r="E3" s="3" t="s">
        <v>16</v>
      </c>
      <c r="F3" s="4" t="str">
        <f t="shared" si="3"/>
        <v>Link</v>
      </c>
      <c r="G3" s="3" t="s">
        <v>17</v>
      </c>
    </row>
    <row r="4">
      <c r="A4" s="3" t="s">
        <v>18</v>
      </c>
      <c r="B4" s="4" t="str">
        <f t="shared" si="1"/>
        <v>Link</v>
      </c>
      <c r="C4" s="3" t="s">
        <v>19</v>
      </c>
      <c r="D4" s="4" t="str">
        <f t="shared" si="2"/>
        <v>Link</v>
      </c>
      <c r="E4" s="3" t="s">
        <v>20</v>
      </c>
      <c r="F4" s="4" t="str">
        <f t="shared" si="3"/>
        <v>Link</v>
      </c>
      <c r="G4" s="3" t="s">
        <v>21</v>
      </c>
    </row>
    <row r="5">
      <c r="A5" s="3" t="s">
        <v>22</v>
      </c>
      <c r="B5" s="4" t="str">
        <f t="shared" si="1"/>
        <v>Link</v>
      </c>
      <c r="C5" s="3" t="s">
        <v>24</v>
      </c>
      <c r="D5" s="4" t="str">
        <f t="shared" si="2"/>
        <v>Link</v>
      </c>
      <c r="E5" s="3" t="s">
        <v>25</v>
      </c>
      <c r="F5" s="4" t="str">
        <f t="shared" si="3"/>
        <v>Link</v>
      </c>
      <c r="G5" s="3" t="s">
        <v>26</v>
      </c>
    </row>
    <row r="6">
      <c r="A6" s="3" t="s">
        <v>27</v>
      </c>
      <c r="B6" s="4" t="str">
        <f t="shared" si="1"/>
        <v>Link</v>
      </c>
      <c r="C6" s="3" t="s">
        <v>28</v>
      </c>
      <c r="D6" s="4" t="str">
        <f t="shared" si="2"/>
        <v>Link</v>
      </c>
      <c r="E6" s="3" t="s">
        <v>29</v>
      </c>
      <c r="F6" s="4" t="str">
        <f t="shared" si="3"/>
        <v>Link</v>
      </c>
      <c r="G6" s="3" t="s">
        <v>30</v>
      </c>
    </row>
    <row r="7">
      <c r="A7" s="3" t="s">
        <v>31</v>
      </c>
      <c r="B7" s="4" t="str">
        <f t="shared" si="1"/>
        <v>Link</v>
      </c>
      <c r="C7" s="3" t="s">
        <v>33</v>
      </c>
      <c r="D7" s="4" t="str">
        <f t="shared" si="2"/>
        <v>Link</v>
      </c>
      <c r="E7" s="3" t="s">
        <v>34</v>
      </c>
      <c r="F7" s="4" t="str">
        <f t="shared" si="3"/>
        <v>Link</v>
      </c>
      <c r="G7" s="3" t="s">
        <v>36</v>
      </c>
    </row>
    <row r="8">
      <c r="A8" s="3" t="s">
        <v>37</v>
      </c>
      <c r="B8" s="4" t="str">
        <f t="shared" si="1"/>
        <v>Link</v>
      </c>
      <c r="C8" s="3" t="s">
        <v>33</v>
      </c>
      <c r="D8" s="4" t="str">
        <f t="shared" si="2"/>
        <v>Link</v>
      </c>
      <c r="E8" s="3" t="s">
        <v>34</v>
      </c>
      <c r="F8" s="4" t="str">
        <f t="shared" si="3"/>
        <v>Link</v>
      </c>
      <c r="G8" s="3" t="s">
        <v>42</v>
      </c>
    </row>
    <row r="9">
      <c r="A9" s="3" t="s">
        <v>44</v>
      </c>
      <c r="B9" s="4" t="str">
        <f t="shared" si="1"/>
        <v>Link</v>
      </c>
      <c r="C9" s="3" t="s">
        <v>46</v>
      </c>
      <c r="D9" s="4" t="str">
        <f t="shared" si="2"/>
        <v>Link</v>
      </c>
      <c r="E9" s="3" t="s">
        <v>49</v>
      </c>
      <c r="F9" s="4" t="str">
        <f t="shared" si="3"/>
        <v>Link</v>
      </c>
      <c r="G9" s="3" t="s">
        <v>51</v>
      </c>
    </row>
    <row r="10">
      <c r="A10" s="3" t="s">
        <v>53</v>
      </c>
      <c r="B10" s="4" t="str">
        <f t="shared" si="1"/>
        <v>Link</v>
      </c>
      <c r="C10" s="3" t="s">
        <v>56</v>
      </c>
      <c r="D10" s="4" t="str">
        <f t="shared" si="2"/>
        <v>Link</v>
      </c>
      <c r="E10" s="3" t="s">
        <v>58</v>
      </c>
      <c r="F10" s="4" t="str">
        <f t="shared" si="3"/>
        <v>Link</v>
      </c>
      <c r="G10" s="3" t="s">
        <v>60</v>
      </c>
    </row>
    <row r="11">
      <c r="A11" s="3" t="s">
        <v>62</v>
      </c>
      <c r="B11" s="4" t="str">
        <f t="shared" si="1"/>
        <v>Link</v>
      </c>
      <c r="C11" s="3" t="s">
        <v>64</v>
      </c>
      <c r="D11" s="4" t="str">
        <f t="shared" si="2"/>
        <v>Link</v>
      </c>
      <c r="E11" s="3" t="s">
        <v>65</v>
      </c>
      <c r="F11" s="4" t="str">
        <f t="shared" si="3"/>
        <v>Link</v>
      </c>
      <c r="G11" s="3" t="s">
        <v>66</v>
      </c>
    </row>
    <row r="12">
      <c r="A12" s="3" t="s">
        <v>67</v>
      </c>
      <c r="B12" s="4" t="str">
        <f t="shared" si="1"/>
        <v>Link</v>
      </c>
      <c r="C12" s="3" t="s">
        <v>68</v>
      </c>
      <c r="D12" s="4" t="str">
        <f t="shared" si="2"/>
        <v>Link</v>
      </c>
      <c r="E12" s="3" t="s">
        <v>69</v>
      </c>
      <c r="F12" s="4" t="str">
        <f t="shared" si="3"/>
        <v>Link</v>
      </c>
      <c r="G12" s="3" t="s">
        <v>70</v>
      </c>
    </row>
    <row r="13">
      <c r="A13" s="3" t="s">
        <v>71</v>
      </c>
      <c r="B13" s="4" t="str">
        <f t="shared" si="1"/>
        <v>Link</v>
      </c>
      <c r="C13" s="3" t="s">
        <v>72</v>
      </c>
      <c r="D13" s="4" t="str">
        <f t="shared" si="2"/>
        <v>Link</v>
      </c>
      <c r="E13" s="3" t="s">
        <v>75</v>
      </c>
      <c r="F13" s="4" t="str">
        <f t="shared" si="3"/>
        <v>Link</v>
      </c>
      <c r="G13" s="3" t="s">
        <v>77</v>
      </c>
    </row>
    <row r="14">
      <c r="A14" s="3" t="s">
        <v>79</v>
      </c>
      <c r="B14" s="4" t="str">
        <f t="shared" si="1"/>
        <v>Link</v>
      </c>
      <c r="C14" s="3" t="s">
        <v>81</v>
      </c>
      <c r="D14" s="4" t="str">
        <f t="shared" si="2"/>
        <v>Link</v>
      </c>
      <c r="E14" s="3" t="s">
        <v>84</v>
      </c>
      <c r="F14" s="4" t="str">
        <f t="shared" si="3"/>
        <v>Link</v>
      </c>
      <c r="G14" s="3" t="s">
        <v>86</v>
      </c>
    </row>
    <row r="15">
      <c r="A15" s="3" t="s">
        <v>88</v>
      </c>
      <c r="B15" s="4" t="str">
        <f t="shared" si="1"/>
        <v>Link</v>
      </c>
      <c r="C15" s="3" t="s">
        <v>90</v>
      </c>
      <c r="D15" s="4" t="str">
        <f t="shared" si="2"/>
        <v>Link</v>
      </c>
      <c r="E15" s="3" t="s">
        <v>93</v>
      </c>
      <c r="F15" s="4" t="str">
        <f t="shared" si="3"/>
        <v>Link</v>
      </c>
      <c r="G15" s="3" t="s">
        <v>95</v>
      </c>
    </row>
    <row r="16">
      <c r="A16" s="3" t="s">
        <v>97</v>
      </c>
      <c r="B16" s="4" t="str">
        <f t="shared" si="1"/>
        <v>Link</v>
      </c>
      <c r="C16" s="3" t="s">
        <v>99</v>
      </c>
      <c r="D16" s="4" t="str">
        <f t="shared" si="2"/>
        <v>Link</v>
      </c>
      <c r="E16" s="3" t="s">
        <v>101</v>
      </c>
      <c r="F16" s="4" t="str">
        <f t="shared" si="3"/>
        <v>Link</v>
      </c>
      <c r="G16" s="3" t="s">
        <v>104</v>
      </c>
    </row>
    <row r="17">
      <c r="A17" s="3" t="s">
        <v>106</v>
      </c>
      <c r="B17" s="4" t="str">
        <f t="shared" si="1"/>
        <v>Link</v>
      </c>
      <c r="C17" s="3" t="s">
        <v>109</v>
      </c>
      <c r="D17" s="4" t="str">
        <f t="shared" si="2"/>
        <v>Link</v>
      </c>
      <c r="E17" s="3" t="s">
        <v>111</v>
      </c>
      <c r="F17" s="4" t="str">
        <f t="shared" si="3"/>
        <v>Link</v>
      </c>
      <c r="G17" s="3" t="s">
        <v>114</v>
      </c>
    </row>
    <row r="18">
      <c r="A18" s="3" t="s">
        <v>115</v>
      </c>
      <c r="B18" s="4" t="str">
        <f t="shared" si="1"/>
        <v>Link</v>
      </c>
      <c r="C18" s="3" t="s">
        <v>117</v>
      </c>
      <c r="D18" s="4" t="str">
        <f t="shared" si="2"/>
        <v>Link</v>
      </c>
      <c r="E18" s="3" t="s">
        <v>118</v>
      </c>
      <c r="F18" s="4" t="str">
        <f t="shared" si="3"/>
        <v>Link</v>
      </c>
      <c r="G18" s="3" t="s">
        <v>119</v>
      </c>
    </row>
    <row r="19">
      <c r="A19" s="3" t="s">
        <v>120</v>
      </c>
      <c r="B19" s="4" t="str">
        <f t="shared" si="1"/>
        <v>Link</v>
      </c>
      <c r="C19" s="3" t="s">
        <v>121</v>
      </c>
      <c r="D19" s="4" t="str">
        <f t="shared" si="2"/>
        <v>Link</v>
      </c>
      <c r="E19" s="3" t="s">
        <v>122</v>
      </c>
      <c r="F19" s="4" t="str">
        <f t="shared" si="3"/>
        <v>Link</v>
      </c>
      <c r="G19" s="3" t="s">
        <v>123</v>
      </c>
    </row>
    <row r="20">
      <c r="A20" s="3" t="s">
        <v>124</v>
      </c>
      <c r="B20" s="4" t="str">
        <f t="shared" si="1"/>
        <v>Link</v>
      </c>
      <c r="C20" s="3" t="s">
        <v>125</v>
      </c>
      <c r="D20" s="4" t="str">
        <f t="shared" si="2"/>
        <v>Link</v>
      </c>
      <c r="E20" s="3" t="s">
        <v>126</v>
      </c>
      <c r="F20" s="4" t="str">
        <f t="shared" si="3"/>
        <v>Link</v>
      </c>
      <c r="G20" s="3" t="s">
        <v>127</v>
      </c>
    </row>
    <row r="21">
      <c r="A21" s="3" t="s">
        <v>128</v>
      </c>
      <c r="B21" s="4" t="str">
        <f t="shared" si="1"/>
        <v>Link</v>
      </c>
      <c r="C21" s="3" t="s">
        <v>129</v>
      </c>
      <c r="D21" s="4" t="str">
        <f t="shared" si="2"/>
        <v>Link</v>
      </c>
      <c r="E21" s="3" t="s">
        <v>130</v>
      </c>
      <c r="F21" s="4" t="str">
        <f t="shared" si="3"/>
        <v>Link</v>
      </c>
      <c r="G21" s="3" t="s">
        <v>131</v>
      </c>
    </row>
    <row r="22">
      <c r="A22" s="3" t="s">
        <v>132</v>
      </c>
      <c r="B22" s="4" t="str">
        <f t="shared" si="1"/>
        <v>Link</v>
      </c>
      <c r="C22" s="3" t="s">
        <v>133</v>
      </c>
      <c r="D22" s="4" t="str">
        <f t="shared" si="2"/>
        <v>Link</v>
      </c>
      <c r="E22" s="3" t="s">
        <v>134</v>
      </c>
      <c r="F22" s="4" t="str">
        <f t="shared" si="3"/>
        <v>Link</v>
      </c>
      <c r="G22" s="3" t="s">
        <v>135</v>
      </c>
    </row>
    <row r="23">
      <c r="A23" s="3" t="s">
        <v>136</v>
      </c>
      <c r="B23" s="4" t="str">
        <f t="shared" si="1"/>
        <v>Link</v>
      </c>
      <c r="C23" s="3" t="s">
        <v>137</v>
      </c>
      <c r="D23" s="4" t="str">
        <f t="shared" si="2"/>
        <v>Link</v>
      </c>
      <c r="E23" s="3" t="s">
        <v>138</v>
      </c>
      <c r="F23" s="4" t="str">
        <f t="shared" si="3"/>
        <v>Link</v>
      </c>
      <c r="G23" s="3" t="s">
        <v>139</v>
      </c>
    </row>
    <row r="24">
      <c r="A24" s="3" t="s">
        <v>140</v>
      </c>
      <c r="B24" s="4" t="str">
        <f t="shared" si="1"/>
        <v>Link</v>
      </c>
      <c r="C24" s="3" t="s">
        <v>141</v>
      </c>
      <c r="D24" s="4" t="str">
        <f t="shared" si="2"/>
        <v>Link</v>
      </c>
      <c r="E24" s="3" t="s">
        <v>142</v>
      </c>
      <c r="F24" s="4" t="str">
        <f t="shared" si="3"/>
        <v>Link</v>
      </c>
      <c r="G24" s="3" t="s">
        <v>143</v>
      </c>
    </row>
    <row r="25">
      <c r="A25" s="3" t="s">
        <v>144</v>
      </c>
      <c r="B25" s="4" t="str">
        <f t="shared" si="1"/>
        <v>Link</v>
      </c>
      <c r="C25" s="3" t="s">
        <v>145</v>
      </c>
      <c r="D25" s="4" t="str">
        <f t="shared" si="2"/>
        <v>Link</v>
      </c>
      <c r="E25" s="3" t="s">
        <v>146</v>
      </c>
      <c r="F25" s="4" t="str">
        <f t="shared" si="3"/>
        <v>Link</v>
      </c>
      <c r="G25" s="3" t="s">
        <v>147</v>
      </c>
    </row>
    <row r="26">
      <c r="A26" s="3" t="s">
        <v>148</v>
      </c>
      <c r="B26" s="4" t="str">
        <f t="shared" si="1"/>
        <v>Link</v>
      </c>
      <c r="C26" s="3" t="s">
        <v>149</v>
      </c>
      <c r="D26" s="4" t="str">
        <f t="shared" si="2"/>
        <v>Link</v>
      </c>
      <c r="E26" s="3" t="s">
        <v>150</v>
      </c>
      <c r="F26" s="4" t="str">
        <f t="shared" si="3"/>
        <v>Link</v>
      </c>
      <c r="G26" s="3" t="s">
        <v>151</v>
      </c>
    </row>
    <row r="27">
      <c r="A27" s="3" t="s">
        <v>152</v>
      </c>
      <c r="B27" s="4" t="str">
        <f t="shared" si="1"/>
        <v>Link</v>
      </c>
      <c r="C27" s="3" t="s">
        <v>153</v>
      </c>
      <c r="D27" s="4" t="str">
        <f t="shared" si="2"/>
        <v>Link</v>
      </c>
      <c r="E27" s="3" t="s">
        <v>154</v>
      </c>
      <c r="F27" s="4" t="str">
        <f t="shared" si="3"/>
        <v>Link</v>
      </c>
      <c r="G27" s="3" t="s">
        <v>155</v>
      </c>
    </row>
    <row r="28">
      <c r="A28" s="3" t="s">
        <v>156</v>
      </c>
      <c r="B28" s="4" t="str">
        <f t="shared" si="1"/>
        <v>Link</v>
      </c>
      <c r="C28" s="3" t="s">
        <v>157</v>
      </c>
      <c r="D28" s="4" t="str">
        <f t="shared" si="2"/>
        <v>Link</v>
      </c>
      <c r="E28" s="3" t="s">
        <v>158</v>
      </c>
      <c r="F28" s="4" t="str">
        <f t="shared" si="3"/>
        <v>Link</v>
      </c>
      <c r="G28" s="3" t="s">
        <v>159</v>
      </c>
    </row>
    <row r="29">
      <c r="A29" s="3" t="s">
        <v>160</v>
      </c>
      <c r="B29" s="4" t="str">
        <f t="shared" si="1"/>
        <v>Link</v>
      </c>
      <c r="C29" s="3" t="s">
        <v>161</v>
      </c>
      <c r="D29" s="4" t="str">
        <f t="shared" si="2"/>
        <v>Link</v>
      </c>
      <c r="E29" s="3" t="s">
        <v>162</v>
      </c>
      <c r="F29" s="4" t="str">
        <f t="shared" si="3"/>
        <v>Link</v>
      </c>
      <c r="G29" s="3" t="s">
        <v>163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1.63"/>
    <col customWidth="1" min="3" max="3" width="15.5"/>
    <col customWidth="1" min="5" max="5" width="14.75"/>
    <col customWidth="1" min="6" max="6" width="13.88"/>
    <col customWidth="1" min="7" max="7" width="10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9</v>
      </c>
      <c r="B2" s="4" t="str">
        <f t="shared" ref="B2:B13" si="1">HYPERLINK(CONCAT("https://github.com/openssl/openssl/commit/", A2), "Link")</f>
        <v>Link</v>
      </c>
      <c r="C2" s="3" t="s">
        <v>11</v>
      </c>
      <c r="D2" s="4" t="str">
        <f t="shared" ref="D2:D13" si="2">HYPERLINK(CONCAT("https://github.com/openssl/openssl/commit/", C2), "Link")</f>
        <v>Link</v>
      </c>
      <c r="E2" s="3" t="s">
        <v>23</v>
      </c>
      <c r="F2" s="4" t="str">
        <f t="shared" ref="F2:F13" si="3">HYPERLINK(CONCAT("https://nvd.nist.gov/vuln/detail/", E2), "Link")</f>
        <v>Link</v>
      </c>
      <c r="G2" s="3" t="s">
        <v>32</v>
      </c>
    </row>
    <row r="3">
      <c r="A3" s="3" t="s">
        <v>35</v>
      </c>
      <c r="B3" s="4" t="str">
        <f t="shared" si="1"/>
        <v>Link</v>
      </c>
      <c r="C3" s="3" t="s">
        <v>38</v>
      </c>
      <c r="D3" s="4" t="str">
        <f t="shared" si="2"/>
        <v>Link</v>
      </c>
      <c r="E3" s="3" t="s">
        <v>39</v>
      </c>
      <c r="F3" s="4" t="str">
        <f t="shared" si="3"/>
        <v>Link</v>
      </c>
      <c r="G3" s="3" t="s">
        <v>40</v>
      </c>
    </row>
    <row r="4">
      <c r="A4" s="3" t="s">
        <v>41</v>
      </c>
      <c r="B4" s="4" t="str">
        <f t="shared" si="1"/>
        <v>Link</v>
      </c>
      <c r="C4" s="3" t="s">
        <v>43</v>
      </c>
      <c r="D4" s="4" t="str">
        <f t="shared" si="2"/>
        <v>Link</v>
      </c>
      <c r="E4" s="3" t="s">
        <v>45</v>
      </c>
      <c r="F4" s="4" t="str">
        <f t="shared" si="3"/>
        <v>Link</v>
      </c>
      <c r="G4" s="3" t="s">
        <v>47</v>
      </c>
    </row>
    <row r="5">
      <c r="A5" s="3" t="s">
        <v>48</v>
      </c>
      <c r="B5" s="4" t="str">
        <f t="shared" si="1"/>
        <v>Link</v>
      </c>
      <c r="C5" s="3" t="s">
        <v>50</v>
      </c>
      <c r="D5" s="4" t="str">
        <f t="shared" si="2"/>
        <v>Link</v>
      </c>
      <c r="E5" s="3" t="s">
        <v>52</v>
      </c>
      <c r="F5" s="4" t="str">
        <f t="shared" si="3"/>
        <v>Link</v>
      </c>
      <c r="G5" s="3" t="s">
        <v>54</v>
      </c>
    </row>
    <row r="6">
      <c r="A6" s="3" t="s">
        <v>55</v>
      </c>
      <c r="B6" s="4" t="str">
        <f t="shared" si="1"/>
        <v>Link</v>
      </c>
      <c r="C6" s="3" t="s">
        <v>57</v>
      </c>
      <c r="D6" s="4" t="str">
        <f t="shared" si="2"/>
        <v>Link</v>
      </c>
      <c r="E6" s="3" t="s">
        <v>59</v>
      </c>
      <c r="F6" s="4" t="str">
        <f t="shared" si="3"/>
        <v>Link</v>
      </c>
      <c r="G6" s="3" t="s">
        <v>61</v>
      </c>
    </row>
    <row r="7">
      <c r="A7" s="5" t="s">
        <v>63</v>
      </c>
      <c r="B7" s="4" t="str">
        <f t="shared" si="1"/>
        <v>Link</v>
      </c>
      <c r="C7" s="3" t="s">
        <v>73</v>
      </c>
      <c r="D7" s="4" t="str">
        <f t="shared" si="2"/>
        <v>Link</v>
      </c>
      <c r="E7" s="3" t="s">
        <v>74</v>
      </c>
      <c r="F7" s="4" t="str">
        <f t="shared" si="3"/>
        <v>Link</v>
      </c>
      <c r="G7" s="3" t="s">
        <v>76</v>
      </c>
    </row>
    <row r="8">
      <c r="A8" s="3" t="s">
        <v>78</v>
      </c>
      <c r="B8" s="4" t="str">
        <f t="shared" si="1"/>
        <v>Link</v>
      </c>
      <c r="C8" s="3" t="s">
        <v>80</v>
      </c>
      <c r="D8" s="4" t="str">
        <f t="shared" si="2"/>
        <v>Link</v>
      </c>
      <c r="E8" s="3" t="s">
        <v>82</v>
      </c>
      <c r="F8" s="4" t="str">
        <f t="shared" si="3"/>
        <v>Link</v>
      </c>
      <c r="G8" s="3" t="s">
        <v>83</v>
      </c>
    </row>
    <row r="9">
      <c r="A9" s="3" t="s">
        <v>85</v>
      </c>
      <c r="B9" s="4" t="str">
        <f t="shared" si="1"/>
        <v>Link</v>
      </c>
      <c r="C9" s="3" t="s">
        <v>87</v>
      </c>
      <c r="D9" s="4" t="str">
        <f t="shared" si="2"/>
        <v>Link</v>
      </c>
      <c r="E9" s="3" t="s">
        <v>89</v>
      </c>
      <c r="F9" s="4" t="str">
        <f t="shared" si="3"/>
        <v>Link</v>
      </c>
      <c r="G9" s="3" t="s">
        <v>91</v>
      </c>
    </row>
    <row r="10">
      <c r="A10" s="3" t="s">
        <v>92</v>
      </c>
      <c r="B10" s="4" t="str">
        <f t="shared" si="1"/>
        <v>Link</v>
      </c>
      <c r="C10" s="3" t="s">
        <v>94</v>
      </c>
      <c r="D10" s="4" t="str">
        <f t="shared" si="2"/>
        <v>Link</v>
      </c>
      <c r="E10" s="3" t="s">
        <v>96</v>
      </c>
      <c r="F10" s="4" t="str">
        <f t="shared" si="3"/>
        <v>Link</v>
      </c>
      <c r="G10" s="3" t="s">
        <v>98</v>
      </c>
    </row>
    <row r="11">
      <c r="A11" s="3" t="s">
        <v>100</v>
      </c>
      <c r="B11" s="4" t="str">
        <f t="shared" si="1"/>
        <v>Link</v>
      </c>
      <c r="C11" s="3" t="s">
        <v>94</v>
      </c>
      <c r="D11" s="4" t="str">
        <f t="shared" si="2"/>
        <v>Link</v>
      </c>
      <c r="E11" s="3" t="s">
        <v>96</v>
      </c>
      <c r="F11" s="4" t="str">
        <f t="shared" si="3"/>
        <v>Link</v>
      </c>
      <c r="G11" s="3" t="s">
        <v>102</v>
      </c>
    </row>
    <row r="12">
      <c r="A12" s="3" t="s">
        <v>103</v>
      </c>
      <c r="B12" s="4" t="str">
        <f t="shared" si="1"/>
        <v>Link</v>
      </c>
      <c r="C12" s="3" t="s">
        <v>105</v>
      </c>
      <c r="D12" s="4" t="str">
        <f t="shared" si="2"/>
        <v>Link</v>
      </c>
      <c r="E12" s="3" t="s">
        <v>107</v>
      </c>
      <c r="F12" s="4" t="str">
        <f t="shared" si="3"/>
        <v>Link</v>
      </c>
      <c r="G12" s="3" t="s">
        <v>108</v>
      </c>
    </row>
    <row r="13">
      <c r="A13" s="3" t="s">
        <v>110</v>
      </c>
      <c r="B13" s="4" t="str">
        <f t="shared" si="1"/>
        <v>Link</v>
      </c>
      <c r="C13" s="3" t="s">
        <v>112</v>
      </c>
      <c r="D13" s="4" t="str">
        <f t="shared" si="2"/>
        <v>Link</v>
      </c>
      <c r="E13" s="3" t="s">
        <v>113</v>
      </c>
      <c r="F13" s="4" t="str">
        <f t="shared" si="3"/>
        <v>Link</v>
      </c>
      <c r="G13" s="3" t="s">
        <v>116</v>
      </c>
    </row>
  </sheetData>
  <drawing r:id="rId1"/>
</worksheet>
</file>